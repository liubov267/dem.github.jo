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Лист1" sheetId="1" state="visible" r:id="rId3"/>
    <sheet name="Лист2" sheetId="2" state="visible" r:id="rId4"/>
    <sheet name="Лист3" sheetId="3" state="visible" r:id="rId5"/>
    <sheet name="Лист4" sheetId="4" state="visible" r:id="rId6"/>
    <sheet name="Лист5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<sst xmlns="http://schemas.openxmlformats.org/spreadsheetml/2006/main" count="21" uniqueCount="19">
  <si>
    <t xml:space="preserve">максимальный показатель </t>
  </si>
  <si>
    <t xml:space="preserve">сумма </t>
  </si>
  <si>
    <t xml:space="preserve">сумма</t>
  </si>
  <si>
    <t xml:space="preserve">сумма для 2 </t>
  </si>
  <si>
    <t xml:space="preserve">сумма для 3</t>
  </si>
  <si>
    <t xml:space="preserve">статистическая функция </t>
  </si>
  <si>
    <t xml:space="preserve">для А (лист 3)</t>
  </si>
  <si>
    <r>
      <rPr>
        <b val="true"/>
        <sz val="12"/>
        <rFont val="XO Thames"/>
        <family val="0"/>
        <charset val="1"/>
      </rPr>
      <t xml:space="preserve">для В ( лист 3</t>
    </r>
    <r>
      <rPr>
        <sz val="12"/>
        <rFont val="XO Thames"/>
        <family val="0"/>
        <charset val="1"/>
      </rPr>
      <t xml:space="preserve">)</t>
    </r>
  </si>
  <si>
    <t xml:space="preserve">для С ( лист 3) </t>
  </si>
  <si>
    <t xml:space="preserve">среднее значение </t>
  </si>
  <si>
    <t xml:space="preserve">максимальное значение </t>
  </si>
  <si>
    <t xml:space="preserve">минимальное значение </t>
  </si>
  <si>
    <t xml:space="preserve">медиана </t>
  </si>
  <si>
    <t xml:space="preserve">мода </t>
  </si>
  <si>
    <t xml:space="preserve">дисперсия </t>
  </si>
  <si>
    <t xml:space="preserve">колледж 1 </t>
  </si>
  <si>
    <t xml:space="preserve">колледж 2 </t>
  </si>
  <si>
    <t xml:space="preserve">колледж 3 </t>
  </si>
  <si>
    <t xml:space="preserve">колледж 4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</si>
</sst>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Times New Roman"/>
      <family val="1"/>
      <charset val="1"/>
    </font>
    <font>
      <sz val="12"/>
      <color theme="1"/>
      <name val="Times New Roman"/>
      <family val="1"/>
      <charset val="1"/>
    </font>
    <font>
      <sz val="5.5"/>
      <color theme="1"/>
      <name val="Verdana"/>
      <family val="0"/>
    </font>
    <font>
      <b val="true"/>
      <sz val="12"/>
      <name val="Times New Roman"/>
      <family val="1"/>
      <charset val="1"/>
    </font>
    <font>
      <b val="true"/>
      <sz val="12"/>
      <name val="XO Thames"/>
      <family val="0"/>
      <charset val="1"/>
    </font>
    <font>
      <sz val="12"/>
      <name val="XO Thames"/>
      <family val="0"/>
      <charset val="1"/>
    </font>
    <font>
      <sz val="12"/>
      <name val="Times New Roman"/>
      <family val="1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2D2D2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Лист5!$A$1:$A$5</c:f>
              <c:strCache>
                <c:ptCount val="5"/>
                <c:pt idx="0">
                  <c:v/>
                </c:pt>
                <c:pt idx="1">
                  <c:v>колледж 1 </c:v>
                </c:pt>
                <c:pt idx="2">
                  <c:v>колледж 2 </c:v>
                </c:pt>
                <c:pt idx="3">
                  <c:v>колледж 3 </c:v>
                </c:pt>
                <c:pt idx="4">
                  <c:v>колледж 4 </c:v>
                </c:pt>
              </c:strCache>
            </c:strRef>
          </c:cat>
          <c:val>
            <c:numRef>
              <c:f>Лист5!$B$1:$B$5</c:f>
              <c:numCache>
                <c:formatCode>General</c:formatCode>
                <c:ptCount val="5"/>
                <c:pt idx="0">
                  <c:v>2021</c:v>
                </c:pt>
                <c:pt idx="1">
                  <c:v>1510000</c:v>
                </c:pt>
                <c:pt idx="2">
                  <c:v>237800</c:v>
                </c:pt>
                <c:pt idx="3">
                  <c:v>3211400</c:v>
                </c:pt>
                <c:pt idx="4">
                  <c:v>4961201</c:v>
                </c:pt>
              </c:numCache>
            </c:numRef>
          </c:val>
          <c:smooth val="0"/>
        </c:ser>
        <c:ser>
          <c:idx val="1"/>
          <c:order val="1"/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Лист5!$A$1:$A$5</c:f>
              <c:strCache>
                <c:ptCount val="5"/>
                <c:pt idx="0">
                  <c:v/>
                </c:pt>
                <c:pt idx="1">
                  <c:v>колледж 1 </c:v>
                </c:pt>
                <c:pt idx="2">
                  <c:v>колледж 2 </c:v>
                </c:pt>
                <c:pt idx="3">
                  <c:v>колледж 3 </c:v>
                </c:pt>
                <c:pt idx="4">
                  <c:v>колледж 4 </c:v>
                </c:pt>
              </c:strCache>
            </c:strRef>
          </c:cat>
          <c:val>
            <c:numRef>
              <c:f>Лист5!$C$1:$C$5</c:f>
              <c:numCache>
                <c:formatCode>General</c:formatCode>
                <c:ptCount val="5"/>
                <c:pt idx="0">
                  <c:v>2022</c:v>
                </c:pt>
                <c:pt idx="1">
                  <c:v>2236476</c:v>
                </c:pt>
                <c:pt idx="2">
                  <c:v>732647</c:v>
                </c:pt>
                <c:pt idx="3">
                  <c:v>4873837</c:v>
                </c:pt>
                <c:pt idx="4">
                  <c:v>7844962</c:v>
                </c:pt>
              </c:numCache>
            </c:numRef>
          </c:val>
          <c:smooth val="0"/>
        </c:ser>
        <c:ser>
          <c:idx val="2"/>
          <c:order val="2"/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Лист5!$A$1:$A$5</c:f>
              <c:strCache>
                <c:ptCount val="5"/>
                <c:pt idx="0">
                  <c:v/>
                </c:pt>
                <c:pt idx="1">
                  <c:v>колледж 1 </c:v>
                </c:pt>
                <c:pt idx="2">
                  <c:v>колледж 2 </c:v>
                </c:pt>
                <c:pt idx="3">
                  <c:v>колледж 3 </c:v>
                </c:pt>
                <c:pt idx="4">
                  <c:v>колледж 4 </c:v>
                </c:pt>
              </c:strCache>
            </c:strRef>
          </c:cat>
          <c:val>
            <c:numRef>
              <c:f>Лист5!$D$1:$D$5</c:f>
              <c:numCache>
                <c:formatCode>General</c:formatCode>
                <c:ptCount val="5"/>
                <c:pt idx="0">
                  <c:v>2023</c:v>
                </c:pt>
                <c:pt idx="1">
                  <c:v>1934765</c:v>
                </c:pt>
                <c:pt idx="2">
                  <c:v>567672</c:v>
                </c:pt>
                <c:pt idx="3">
                  <c:v>36654654</c:v>
                </c:pt>
                <c:pt idx="4">
                  <c:v>6159094</c:v>
                </c:pt>
              </c:numCache>
            </c:numRef>
          </c:val>
          <c:smooth val="0"/>
        </c:ser>
        <c:ser>
          <c:idx val="3"/>
          <c:order val="3"/>
          <c:spPr>
            <a:solidFill>
              <a:srgbClr val="99ccff"/>
            </a:solidFill>
            <a:ln w="28800">
              <a:solidFill>
                <a:srgbClr val="99cc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Лист5!$A$1:$A$5</c:f>
              <c:strCache>
                <c:ptCount val="5"/>
                <c:pt idx="0">
                  <c:v/>
                </c:pt>
                <c:pt idx="1">
                  <c:v>колледж 1 </c:v>
                </c:pt>
                <c:pt idx="2">
                  <c:v>колледж 2 </c:v>
                </c:pt>
                <c:pt idx="3">
                  <c:v>колледж 3 </c:v>
                </c:pt>
                <c:pt idx="4">
                  <c:v>колледж 4 </c:v>
                </c:pt>
              </c:strCache>
            </c:strRef>
          </c:cat>
          <c:val>
            <c:numRef>
              <c:f>Лист5!$E$1:$E$5</c:f>
              <c:numCache>
                <c:formatCode>General</c:formatCode>
                <c:ptCount val="5"/>
                <c:pt idx="0">
                  <c:v>2024</c:v>
                </c:pt>
                <c:pt idx="1">
                  <c:v>4543534</c:v>
                </c:pt>
                <c:pt idx="2">
                  <c:v>234234</c:v>
                </c:pt>
                <c:pt idx="3">
                  <c:v>3453453</c:v>
                </c:pt>
                <c:pt idx="4">
                  <c:v>8233225</c:v>
                </c:pt>
              </c:numCache>
            </c:numRef>
          </c:val>
          <c:smooth val="0"/>
        </c:ser>
        <c:ser>
          <c:idx val="4"/>
          <c:order val="4"/>
          <c:spPr>
            <a:solidFill>
              <a:srgbClr val="99ccff"/>
            </a:solidFill>
            <a:ln w="28800">
              <a:solidFill>
                <a:srgbClr val="99cc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Лист5!$A$1:$A$5</c:f>
              <c:strCache>
                <c:ptCount val="5"/>
                <c:pt idx="0">
                  <c:v/>
                </c:pt>
                <c:pt idx="1">
                  <c:v>колледж 1 </c:v>
                </c:pt>
                <c:pt idx="2">
                  <c:v>колледж 2 </c:v>
                </c:pt>
                <c:pt idx="3">
                  <c:v>колледж 3 </c:v>
                </c:pt>
                <c:pt idx="4">
                  <c:v>колледж 4 </c:v>
                </c:pt>
              </c:strCache>
            </c:strRef>
          </c:cat>
          <c:val>
            <c:numRef>
              <c:f>Лист5!$F$1:$F$5</c:f>
              <c:numCache>
                <c:formatCode>General</c:formatCode>
                <c:ptCount val="5"/>
                <c:pt idx="0">
                  <c:v>2025</c:v>
                </c:pt>
                <c:pt idx="1">
                  <c:v>2348887</c:v>
                </c:pt>
                <c:pt idx="2">
                  <c:v>32317</c:v>
                </c:pt>
                <c:pt idx="3">
                  <c:v>5435323</c:v>
                </c:pt>
                <c:pt idx="4">
                  <c:v>8109432</c:v>
                </c:pt>
              </c:numCache>
            </c:numRef>
          </c:val>
          <c:smooth val="0"/>
        </c:ser>
        <c:ser>
          <c:idx val="5"/>
          <c:order val="5"/>
          <c:spPr>
            <a:solidFill>
              <a:srgbClr val="99ccff"/>
            </a:solidFill>
            <a:ln w="28800">
              <a:solidFill>
                <a:srgbClr val="99cc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Лист5!$A$1:$A$5</c:f>
              <c:strCache>
                <c:ptCount val="5"/>
                <c:pt idx="0">
                  <c:v/>
                </c:pt>
                <c:pt idx="1">
                  <c:v>колледж 1 </c:v>
                </c:pt>
                <c:pt idx="2">
                  <c:v>колледж 2 </c:v>
                </c:pt>
                <c:pt idx="3">
                  <c:v>колледж 3 </c:v>
                </c:pt>
                <c:pt idx="4">
                  <c:v>колледж 4 </c:v>
                </c:pt>
              </c:strCache>
            </c:strRef>
          </c:cat>
          <c:val>
            <c:numRef>
              <c:f>Лист5!$G$1:$G$5</c:f>
              <c:numCache>
                <c:formatCode>General</c:formatCode>
                <c:ptCount val="5"/>
                <c:pt idx="0">
                  <c:v>2026</c:v>
                </c:pt>
                <c:pt idx="1">
                  <c:v>1170004</c:v>
                </c:pt>
                <c:pt idx="2">
                  <c:v>634423</c:v>
                </c:pt>
                <c:pt idx="3">
                  <c:v>4586959</c:v>
                </c:pt>
                <c:pt idx="4">
                  <c:v>6393392</c:v>
                </c:pt>
              </c:numCache>
            </c:numRef>
          </c:val>
          <c:smooth val="0"/>
        </c:ser>
        <c:ser>
          <c:idx val="6"/>
          <c:order val="6"/>
          <c:spPr>
            <a:solidFill>
              <a:srgbClr val="99ccff"/>
            </a:solidFill>
            <a:ln w="28800">
              <a:solidFill>
                <a:srgbClr val="99cc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Лист5!$A$1:$A$5</c:f>
              <c:strCache>
                <c:ptCount val="5"/>
                <c:pt idx="0">
                  <c:v/>
                </c:pt>
                <c:pt idx="1">
                  <c:v>колледж 1 </c:v>
                </c:pt>
                <c:pt idx="2">
                  <c:v>колледж 2 </c:v>
                </c:pt>
                <c:pt idx="3">
                  <c:v>колледж 3 </c:v>
                </c:pt>
                <c:pt idx="4">
                  <c:v>колледж 4 </c:v>
                </c:pt>
              </c:strCache>
            </c:strRef>
          </c:cat>
          <c:val>
            <c:numRef>
              <c:f>Лист5!$H$1:$H$5</c:f>
              <c:numCache>
                <c:formatCode>General</c:formatCode>
                <c:ptCount val="5"/>
                <c:pt idx="0">
                  <c:v>2027</c:v>
                </c:pt>
                <c:pt idx="1">
                  <c:v>2344598</c:v>
                </c:pt>
                <c:pt idx="2">
                  <c:v>235455</c:v>
                </c:pt>
                <c:pt idx="3">
                  <c:v>8576885</c:v>
                </c:pt>
                <c:pt idx="4">
                  <c:v>11158945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6933713"/>
        <c:axId val="68831274"/>
      </c:lineChart>
      <c:catAx>
        <c:axId val="8693371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68831274"/>
        <c:crosses val="autoZero"/>
        <c:auto val="1"/>
        <c:lblAlgn val="ctr"/>
        <c:lblOffset val="100"/>
        <c:noMultiLvlLbl val="0"/>
      </c:catAx>
      <c:valAx>
        <c:axId val="6883127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86933713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769680</xdr:colOff>
      <xdr:row>6</xdr:row>
      <xdr:rowOff>160920</xdr:rowOff>
    </xdr:from>
    <xdr:to>
      <xdr:col>8</xdr:col>
      <xdr:colOff>743400</xdr:colOff>
      <xdr:row>29</xdr:row>
      <xdr:rowOff>123120</xdr:rowOff>
    </xdr:to>
    <xdr:graphicFrame>
      <xdr:nvGraphicFramePr>
        <xdr:cNvPr id="0" name=""/>
        <xdr:cNvGraphicFramePr/>
      </xdr:nvGraphicFramePr>
      <xdr:xfrm>
        <a:off x="769680" y="1288800"/>
        <a:ext cx="6476040" cy="3642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New 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6796875" defaultRowHeight="13.8" zeroHeight="false" outlineLevelRow="0" outlineLevelCol="0"/>
  <cols>
    <col collapsed="false" customWidth="true" hidden="false" outlineLevel="0" max="1" min="1" style="1" width="26.42"/>
    <col collapsed="false" customWidth="true" hidden="false" outlineLevel="0" max="2" min="2" style="1" width="17.38"/>
  </cols>
  <sheetData>
    <row r="1" customFormat="false" ht="13.8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1" t="n">
        <v>0</v>
      </c>
      <c r="B2" s="1" t="n">
        <f aca="false">=2^(A2+1)-1</f>
        <v>1</v>
      </c>
    </row>
    <row r="3" customFormat="false" ht="13.8" hidden="false" customHeight="false" outlineLevel="0" collapsed="false">
      <c r="A3" s="1" t="n">
        <v>1</v>
      </c>
      <c r="B3" s="1" t="n">
        <f aca="false">=2^(A3+1)-1</f>
        <v>3</v>
      </c>
    </row>
    <row r="4" customFormat="false" ht="13.8" hidden="false" customHeight="false" outlineLevel="0" collapsed="false">
      <c r="A4" s="1" t="n">
        <v>2</v>
      </c>
      <c r="B4" s="1" t="n">
        <f aca="false">=2^(A4+1)-1</f>
        <v>7</v>
      </c>
    </row>
    <row r="5" customFormat="false" ht="13.8" hidden="false" customHeight="false" outlineLevel="0" collapsed="false">
      <c r="A5" s="1" t="n">
        <v>3</v>
      </c>
      <c r="B5" s="1" t="n">
        <f aca="false">=2^(A5+1)-1</f>
        <v>15</v>
      </c>
    </row>
    <row r="6" customFormat="false" ht="13.8" hidden="false" customHeight="false" outlineLevel="0" collapsed="false">
      <c r="A6" s="1" t="n">
        <v>4</v>
      </c>
      <c r="B6" s="1" t="n">
        <f aca="false">=2^(A6+1)-1</f>
        <v>31</v>
      </c>
    </row>
    <row r="7" customFormat="false" ht="13.8" hidden="false" customHeight="false" outlineLevel="0" collapsed="false">
      <c r="A7" s="1" t="n">
        <v>5</v>
      </c>
      <c r="B7" s="1" t="n">
        <f aca="false">=2^(A7+1)-1</f>
        <v>63</v>
      </c>
    </row>
    <row r="8" customFormat="false" ht="13.8" hidden="false" customHeight="false" outlineLevel="0" collapsed="false">
      <c r="A8" s="1" t="n">
        <v>6</v>
      </c>
      <c r="B8" s="1" t="n">
        <f aca="false">=2^(A8+1)-1</f>
        <v>127</v>
      </c>
    </row>
    <row r="9" customFormat="false" ht="13.8" hidden="false" customHeight="false" outlineLevel="0" collapsed="false">
      <c r="A9" s="1" t="n">
        <v>7</v>
      </c>
      <c r="B9" s="1" t="n">
        <f aca="false">=2^(A9+1)-1</f>
        <v>255</v>
      </c>
    </row>
    <row r="10" customFormat="false" ht="13.8" hidden="false" customHeight="false" outlineLevel="0" collapsed="false">
      <c r="A10" s="1" t="n">
        <v>8</v>
      </c>
      <c r="B10" s="1" t="n">
        <f aca="false">=2^(A10+1)-1</f>
        <v>511</v>
      </c>
    </row>
    <row r="11" customFormat="false" ht="13.8" hidden="false" customHeight="false" outlineLevel="0" collapsed="false">
      <c r="A11" s="1" t="n">
        <v>9</v>
      </c>
      <c r="B11" s="1" t="n">
        <f aca="false">=2^(A11+1)-1</f>
        <v>1023</v>
      </c>
    </row>
    <row r="12" customFormat="false" ht="13.8" hidden="false" customHeight="false" outlineLevel="0" collapsed="false">
      <c r="A12" s="1" t="n">
        <v>10</v>
      </c>
      <c r="B12" s="1" t="n">
        <f aca="false">=2^(A12+1)-1</f>
        <v>2047</v>
      </c>
    </row>
    <row r="13" customFormat="false" ht="13.8" hidden="false" customHeight="false" outlineLevel="0" collapsed="false">
      <c r="A13" s="1" t="n">
        <v>11</v>
      </c>
      <c r="B13" s="1" t="n">
        <f aca="false">=2^(A13+1)-1</f>
        <v>4095</v>
      </c>
    </row>
    <row r="14" customFormat="false" ht="13.8" hidden="false" customHeight="false" outlineLevel="0" collapsed="false">
      <c r="A14" s="1" t="n">
        <v>12</v>
      </c>
      <c r="B14" s="1" t="n">
        <f aca="false">=2^(A14+1)-1</f>
        <v>8191</v>
      </c>
    </row>
    <row r="15" customFormat="false" ht="13.8" hidden="false" customHeight="false" outlineLevel="0" collapsed="false">
      <c r="A15" s="1" t="n">
        <v>13</v>
      </c>
      <c r="B15" s="1" t="n">
        <f aca="false">=2^(A15+1)-1</f>
        <v>16383</v>
      </c>
    </row>
    <row r="16" customFormat="false" ht="13.8" hidden="false" customHeight="false" outlineLevel="0" collapsed="false">
      <c r="A16" s="1" t="n">
        <v>14</v>
      </c>
      <c r="B16" s="1" t="n">
        <f aca="false">=2^(A16+1)-1</f>
        <v>32767</v>
      </c>
    </row>
    <row r="17" customFormat="false" ht="13.8" hidden="false" customHeight="false" outlineLevel="0" collapsed="false">
      <c r="A17" s="1" t="n">
        <v>15</v>
      </c>
      <c r="B17" s="1" t="n">
        <f aca="false">=2^(A17+1)-1</f>
        <v>65535</v>
      </c>
    </row>
    <row r="18" customFormat="false" ht="13.8" hidden="false" customHeight="false" outlineLevel="0" collapsed="false">
      <c r="A18" s="1" t="n">
        <v>16</v>
      </c>
      <c r="B18" s="1" t="n">
        <f aca="false">=2^(A18+1)-1</f>
        <v>131071</v>
      </c>
    </row>
    <row r="19" customFormat="false" ht="13.8" hidden="false" customHeight="false" outlineLevel="0" collapsed="false">
      <c r="A19" s="1" t="n">
        <v>17</v>
      </c>
      <c r="B19" s="1" t="n">
        <f aca="false">=2^(A19+1)-1</f>
        <v>262143</v>
      </c>
    </row>
    <row r="20" customFormat="false" ht="13.8" hidden="false" customHeight="false" outlineLevel="0" collapsed="false">
      <c r="A20" s="1" t="n">
        <v>18</v>
      </c>
      <c r="B20" s="1" t="n">
        <f aca="false">=2^(A20+1)-1</f>
        <v>524287</v>
      </c>
    </row>
    <row r="21" customFormat="false" ht="13.8" hidden="false" customHeight="false" outlineLevel="0" collapsed="false">
      <c r="A21" s="1" t="n">
        <v>19</v>
      </c>
      <c r="B21" s="1" t="n">
        <f aca="false">=2^(A21+1)-1</f>
        <v>1048575</v>
      </c>
    </row>
    <row r="22" customFormat="false" ht="13.8" hidden="false" customHeight="false" outlineLevel="0" collapsed="false">
      <c r="A22" s="1" t="n">
        <v>20</v>
      </c>
      <c r="B22" s="1" t="n">
        <f aca="false">=2^(A22+1)-1</f>
        <v>2097151</v>
      </c>
    </row>
    <row r="23" customFormat="false" ht="13.8" hidden="false" customHeight="false" outlineLevel="0" collapsed="false">
      <c r="A23" s="1" t="n">
        <v>21</v>
      </c>
      <c r="B23" s="1" t="n">
        <f aca="false">=2^(A23+1)-1</f>
        <v>4194303</v>
      </c>
    </row>
    <row r="24" customFormat="false" ht="13.8" hidden="false" customHeight="false" outlineLevel="0" collapsed="false">
      <c r="A24" s="1" t="n">
        <v>22</v>
      </c>
      <c r="B24" s="1" t="n">
        <f aca="false">=2^(A24+1)-1</f>
        <v>8388607</v>
      </c>
    </row>
    <row r="25" customFormat="false" ht="13.8" hidden="false" customHeight="false" outlineLevel="0" collapsed="false">
      <c r="A25" s="1" t="n">
        <v>23</v>
      </c>
      <c r="B25" s="1" t="n">
        <f aca="false">=2^(A25+1)-1</f>
        <v>16777215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26.28"/>
    <col collapsed="false" customWidth="false" hidden="false" outlineLevel="0" max="2" min="2" style="1" width="11.53"/>
  </cols>
  <sheetData>
    <row r="1" customFormat="false" ht="13.8" hidden="false" customHeight="false" outlineLevel="0" collapsed="false">
      <c r="A1" s="1" t="s">
        <v>0</v>
      </c>
      <c r="B1" s="1" t="s">
        <v>2</v>
      </c>
    </row>
    <row r="2" customFormat="false" ht="13.8" hidden="false" customHeight="false" outlineLevel="0" collapsed="false">
      <c r="A2" s="1" t="n">
        <v>0</v>
      </c>
      <c r="B2" s="1" t="n">
        <f aca="false">=(3^(A2+1)-1)/2</f>
        <v>1</v>
      </c>
    </row>
    <row r="3" customFormat="false" ht="13.8" hidden="false" customHeight="false" outlineLevel="0" collapsed="false">
      <c r="A3" s="1" t="n">
        <v>1</v>
      </c>
      <c r="B3" s="1" t="n">
        <f aca="false">=(3^(A3+1)-1)/2</f>
        <v>4</v>
      </c>
    </row>
    <row r="4" customFormat="false" ht="13.8" hidden="false" customHeight="false" outlineLevel="0" collapsed="false">
      <c r="A4" s="1" t="n">
        <v>2</v>
      </c>
      <c r="B4" s="1" t="n">
        <f aca="false">=(3^(A4+1)-1)/2</f>
        <v>13</v>
      </c>
    </row>
    <row r="5" customFormat="false" ht="13.8" hidden="false" customHeight="false" outlineLevel="0" collapsed="false">
      <c r="A5" s="1" t="n">
        <v>3</v>
      </c>
      <c r="B5" s="1" t="n">
        <f aca="false">=(3^(A5+1)-1)/2</f>
        <v>40</v>
      </c>
    </row>
    <row r="6" customFormat="false" ht="13.8" hidden="false" customHeight="false" outlineLevel="0" collapsed="false">
      <c r="A6" s="1" t="n">
        <v>4</v>
      </c>
      <c r="B6" s="1" t="n">
        <f aca="false">=(3^(A6+1)-1)/2</f>
        <v>121</v>
      </c>
    </row>
    <row r="7" customFormat="false" ht="13.8" hidden="false" customHeight="false" outlineLevel="0" collapsed="false">
      <c r="A7" s="1" t="n">
        <v>5</v>
      </c>
      <c r="B7" s="1" t="n">
        <f aca="false">=(3^(A7+1)-1)/2</f>
        <v>364</v>
      </c>
    </row>
    <row r="8" customFormat="false" ht="13.8" hidden="false" customHeight="false" outlineLevel="0" collapsed="false">
      <c r="A8" s="1" t="n">
        <v>6</v>
      </c>
      <c r="B8" s="1" t="n">
        <f aca="false">=(3^(A8+1)-1)/2</f>
        <v>1093</v>
      </c>
    </row>
    <row r="9" customFormat="false" ht="13.8" hidden="false" customHeight="false" outlineLevel="0" collapsed="false">
      <c r="A9" s="1" t="n">
        <v>7</v>
      </c>
      <c r="B9" s="1" t="n">
        <f aca="false">=(3^(A9+1)-1)/2</f>
        <v>3280</v>
      </c>
    </row>
    <row r="10" customFormat="false" ht="13.8" hidden="false" customHeight="false" outlineLevel="0" collapsed="false">
      <c r="A10" s="1" t="n">
        <v>8</v>
      </c>
      <c r="B10" s="1" t="n">
        <f aca="false">=(3^(A10+1)-1)/2</f>
        <v>9841</v>
      </c>
    </row>
    <row r="11" customFormat="false" ht="13.8" hidden="false" customHeight="false" outlineLevel="0" collapsed="false">
      <c r="A11" s="1" t="n">
        <v>9</v>
      </c>
      <c r="B11" s="1" t="n">
        <f aca="false">=(3^(A11+1)-1)/2</f>
        <v>29524</v>
      </c>
    </row>
    <row r="12" customFormat="false" ht="13.8" hidden="false" customHeight="false" outlineLevel="0" collapsed="false">
      <c r="A12" s="1" t="n">
        <v>10</v>
      </c>
      <c r="B12" s="1" t="n">
        <f aca="false">=(3^(A12+1)-1)/2</f>
        <v>88573</v>
      </c>
    </row>
    <row r="13" customFormat="false" ht="13.8" hidden="false" customHeight="false" outlineLevel="0" collapsed="false">
      <c r="A13" s="1" t="n">
        <v>11</v>
      </c>
      <c r="B13" s="1" t="n">
        <f aca="false">=(3^(A13+1)-1)/2</f>
        <v>265720</v>
      </c>
    </row>
    <row r="14" customFormat="false" ht="13.8" hidden="false" customHeight="false" outlineLevel="0" collapsed="false">
      <c r="A14" s="1" t="n">
        <v>12</v>
      </c>
      <c r="B14" s="1" t="n">
        <f aca="false">=(3^(A14+1)-1)/2</f>
        <v>797161</v>
      </c>
    </row>
    <row r="15" customFormat="false" ht="13.8" hidden="false" customHeight="false" outlineLevel="0" collapsed="false">
      <c r="A15" s="1" t="n">
        <v>13</v>
      </c>
      <c r="B15" s="1" t="n">
        <f aca="false">=(3^(A15+1)-1)/2</f>
        <v>2391484</v>
      </c>
    </row>
    <row r="16" customFormat="false" ht="13.8" hidden="false" customHeight="false" outlineLevel="0" collapsed="false">
      <c r="A16" s="1" t="n">
        <v>14</v>
      </c>
      <c r="B16" s="1" t="n">
        <f aca="false">=(3^(A16+1)-1)/2</f>
        <v>7174453</v>
      </c>
    </row>
    <row r="17" customFormat="false" ht="13.8" hidden="false" customHeight="false" outlineLevel="0" collapsed="false">
      <c r="A17" s="1" t="n">
        <v>15</v>
      </c>
      <c r="B17" s="1" t="n">
        <f aca="false">=(3^(A17+1)-1)/2</f>
        <v>21523360</v>
      </c>
    </row>
    <row r="18" customFormat="false" ht="13.8" hidden="false" customHeight="false" outlineLevel="0" collapsed="false">
      <c r="A18" s="1" t="n">
        <v>16</v>
      </c>
      <c r="B18" s="1" t="n">
        <f aca="false">=(3^(A18+1)-1)/2</f>
        <v>64570081</v>
      </c>
    </row>
    <row r="19" customFormat="false" ht="13.8" hidden="false" customHeight="false" outlineLevel="0" collapsed="false">
      <c r="A19" s="1" t="n">
        <v>17</v>
      </c>
      <c r="B19" s="1" t="n">
        <f aca="false">=(3^(A19+1)-1)/2</f>
        <v>193710244</v>
      </c>
    </row>
    <row r="20" customFormat="false" ht="13.8" hidden="false" customHeight="false" outlineLevel="0" collapsed="false">
      <c r="A20" s="1" t="n">
        <v>18</v>
      </c>
      <c r="B20" s="1" t="n">
        <f aca="false">=(3^(A20+1)-1)/2</f>
        <v>581130733</v>
      </c>
    </row>
    <row r="21" customFormat="false" ht="13.8" hidden="false" customHeight="false" outlineLevel="0" collapsed="false">
      <c r="A21" s="1" t="n">
        <v>19</v>
      </c>
      <c r="B21" s="1" t="n">
        <f aca="false">=(3^(A21+1)-1)/2</f>
        <v>1743392200</v>
      </c>
    </row>
    <row r="22" customFormat="false" ht="13.8" hidden="false" customHeight="false" outlineLevel="0" collapsed="false">
      <c r="A22" s="1" t="n">
        <v>20</v>
      </c>
      <c r="B22" s="1" t="n">
        <f aca="false">=(3^(A22+1)-1)/2</f>
        <v>5230176601</v>
      </c>
    </row>
    <row r="23" customFormat="false" ht="13.8" hidden="false" customHeight="false" outlineLevel="0" collapsed="false">
      <c r="A23" s="1" t="n">
        <v>21</v>
      </c>
      <c r="B23" s="1" t="n">
        <f aca="false">=(3^(A23+1)-1)/2</f>
        <v>15690529804</v>
      </c>
    </row>
    <row r="24" customFormat="false" ht="13.8" hidden="false" customHeight="false" outlineLevel="0" collapsed="false">
      <c r="A24" s="1" t="n">
        <v>22</v>
      </c>
      <c r="B24" s="1" t="n">
        <f aca="false">=(3^(A24+1)-1)/2</f>
        <v>47071589413</v>
      </c>
    </row>
    <row r="25" customFormat="false" ht="13.8" hidden="false" customHeight="false" outlineLevel="0" collapsed="false">
      <c r="A25" s="1" t="n">
        <v>23</v>
      </c>
      <c r="B25" s="1" t="n">
        <f aca="false">=(3^(A25+1)-1)/2</f>
        <v>141214768240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Roman,Обычный"&amp;12&amp;Kffffff&amp;A</oddHeader>
    <oddFooter>&amp;C&amp;"Times New Roman,Обычный"&amp;12&amp;KffffffСтраница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25.17"/>
    <col collapsed="false" customWidth="true" hidden="false" outlineLevel="0" max="2" min="2" style="1" width="14.18"/>
    <col collapsed="false" customWidth="true" hidden="false" outlineLevel="0" max="3" min="3" style="1" width="13.49"/>
  </cols>
  <sheetData>
    <row r="1" customFormat="false" ht="13.8" hidden="false" customHeight="false" outlineLevel="0" collapsed="false">
      <c r="A1" s="1" t="s">
        <v>0</v>
      </c>
      <c r="B1" s="1" t="s">
        <v>3</v>
      </c>
      <c r="C1" s="1" t="s">
        <v>4</v>
      </c>
    </row>
    <row r="2" customFormat="false" ht="15" hidden="false" customHeight="false" outlineLevel="0" collapsed="false">
      <c r="A2" s="1" t="n">
        <v>0</v>
      </c>
      <c r="B2" s="1" t="n">
        <f aca="false">=VLOOKUP(A2, Лист1!$A$2:$B$25, 2, 0)</f>
        <v>1</v>
      </c>
      <c r="C2" s="2" t="n">
        <f aca="false">VLOOKUP(A2, Лист2!$A$2:$B$25, 2, 0)</f>
        <v>1</v>
      </c>
    </row>
    <row r="3" customFormat="false" ht="15" hidden="false" customHeight="false" outlineLevel="0" collapsed="false">
      <c r="A3" s="1" t="n">
        <v>1</v>
      </c>
      <c r="B3" s="1" t="n">
        <f aca="false">=VLOOKUP(A3, Лист1!$A$2:$B$25, 2, 0)</f>
        <v>3</v>
      </c>
      <c r="C3" s="2" t="n">
        <f aca="false">VLOOKUP(A3, Лист2!$A$2:$B$25, 2, 0)</f>
        <v>4</v>
      </c>
    </row>
    <row r="4" customFormat="false" ht="15" hidden="false" customHeight="false" outlineLevel="0" collapsed="false">
      <c r="A4" s="1" t="n">
        <v>2</v>
      </c>
      <c r="B4" s="1" t="n">
        <f aca="false">=VLOOKUP(A4, Лист1!$A$2:$B$25, 2, 0)</f>
        <v>7</v>
      </c>
      <c r="C4" s="2" t="n">
        <f aca="false">VLOOKUP(A4, Лист2!$A$2:$B$25, 2, 0)</f>
        <v>13</v>
      </c>
    </row>
    <row r="5" customFormat="false" ht="15" hidden="false" customHeight="false" outlineLevel="0" collapsed="false">
      <c r="A5" s="1" t="n">
        <v>3</v>
      </c>
      <c r="B5" s="1" t="n">
        <f aca="false">=VLOOKUP(A5, Лист1!$A$2:$B$25, 2, 0)</f>
        <v>15</v>
      </c>
      <c r="C5" s="2" t="n">
        <f aca="false">VLOOKUP(A5, Лист2!$A$2:$B$25, 2, 0)</f>
        <v>40</v>
      </c>
    </row>
    <row r="6" customFormat="false" ht="15" hidden="false" customHeight="false" outlineLevel="0" collapsed="false">
      <c r="A6" s="1" t="n">
        <v>4</v>
      </c>
      <c r="B6" s="1" t="n">
        <f aca="false">=VLOOKUP(A6, Лист1!$A$2:$B$25, 2, 0)</f>
        <v>31</v>
      </c>
      <c r="C6" s="2" t="n">
        <f aca="false">VLOOKUP(A6, Лист2!$A$2:$B$25, 2, 0)</f>
        <v>121</v>
      </c>
    </row>
    <row r="7" customFormat="false" ht="15" hidden="false" customHeight="false" outlineLevel="0" collapsed="false">
      <c r="A7" s="1" t="n">
        <v>5</v>
      </c>
      <c r="B7" s="1" t="n">
        <f aca="false">=VLOOKUP(A7, Лист1!$A$2:$B$25, 2, 0)</f>
        <v>63</v>
      </c>
      <c r="C7" s="2" t="n">
        <f aca="false">VLOOKUP(A7, Лист2!$A$2:$B$25, 2, 0)</f>
        <v>364</v>
      </c>
    </row>
    <row r="8" customFormat="false" ht="15" hidden="false" customHeight="false" outlineLevel="0" collapsed="false">
      <c r="A8" s="1" t="n">
        <v>6</v>
      </c>
      <c r="B8" s="1" t="n">
        <f aca="false">=VLOOKUP(A8, Лист1!$A$2:$B$25, 2, 0)</f>
        <v>127</v>
      </c>
      <c r="C8" s="2" t="n">
        <f aca="false">VLOOKUP(A8, Лист2!$A$2:$B$25, 2, 0)</f>
        <v>1093</v>
      </c>
    </row>
    <row r="9" customFormat="false" ht="15" hidden="false" customHeight="false" outlineLevel="0" collapsed="false">
      <c r="A9" s="1" t="n">
        <v>7</v>
      </c>
      <c r="B9" s="1" t="n">
        <f aca="false">=VLOOKUP(A9, Лист1!$A$2:$B$25, 2, 0)</f>
        <v>255</v>
      </c>
      <c r="C9" s="2" t="n">
        <f aca="false">VLOOKUP(A9, Лист2!$A$2:$B$25, 2, 0)</f>
        <v>3280</v>
      </c>
    </row>
    <row r="10" customFormat="false" ht="15" hidden="false" customHeight="false" outlineLevel="0" collapsed="false">
      <c r="A10" s="1" t="n">
        <v>8</v>
      </c>
      <c r="B10" s="1" t="n">
        <f aca="false">=VLOOKUP(A10, Лист1!$A$2:$B$25, 2, 0)</f>
        <v>511</v>
      </c>
      <c r="C10" s="2" t="n">
        <f aca="false">VLOOKUP(A10, Лист2!$A$2:$B$25, 2, 0)</f>
        <v>9841</v>
      </c>
    </row>
    <row r="11" customFormat="false" ht="15" hidden="false" customHeight="false" outlineLevel="0" collapsed="false">
      <c r="A11" s="1" t="n">
        <v>9</v>
      </c>
      <c r="B11" s="1" t="n">
        <f aca="false">=VLOOKUP(A11, Лист1!$A$2:$B$25, 2, 0)</f>
        <v>1023</v>
      </c>
      <c r="C11" s="2" t="n">
        <f aca="false">VLOOKUP(A11, Лист2!$A$2:$B$25, 2, 0)</f>
        <v>29524</v>
      </c>
    </row>
    <row r="12" customFormat="false" ht="15" hidden="false" customHeight="false" outlineLevel="0" collapsed="false">
      <c r="A12" s="1" t="n">
        <v>10</v>
      </c>
      <c r="B12" s="1" t="n">
        <f aca="false">=VLOOKUP(A12, Лист1!$A$2:$B$25, 2, 0)</f>
        <v>2047</v>
      </c>
      <c r="C12" s="2" t="n">
        <f aca="false">VLOOKUP(A12, Лист2!$A$2:$B$25, 2, 0)</f>
        <v>88573</v>
      </c>
    </row>
    <row r="13" customFormat="false" ht="15" hidden="false" customHeight="false" outlineLevel="0" collapsed="false">
      <c r="A13" s="1" t="n">
        <v>11</v>
      </c>
      <c r="B13" s="1" t="n">
        <f aca="false">=VLOOKUP(A13, Лист1!$A$2:$B$25, 2, 0)</f>
        <v>4095</v>
      </c>
      <c r="C13" s="2" t="n">
        <f aca="false">VLOOKUP(A13, Лист2!$A$2:$B$25, 2, 0)</f>
        <v>265720</v>
      </c>
      <c r="M13" s="3"/>
    </row>
    <row r="14" customFormat="false" ht="15" hidden="false" customHeight="false" outlineLevel="0" collapsed="false">
      <c r="A14" s="1" t="n">
        <v>12</v>
      </c>
      <c r="B14" s="1" t="n">
        <f aca="false">=VLOOKUP(A14, Лист1!$A$2:$B$25, 2, 0)</f>
        <v>8191</v>
      </c>
      <c r="C14" s="2" t="n">
        <f aca="false">VLOOKUP(A14, Лист2!$A$2:$B$25, 2, 0)</f>
        <v>797161</v>
      </c>
    </row>
    <row r="15" customFormat="false" ht="15" hidden="false" customHeight="false" outlineLevel="0" collapsed="false">
      <c r="A15" s="1" t="n">
        <v>13</v>
      </c>
      <c r="B15" s="1" t="n">
        <f aca="false">=VLOOKUP(A15, Лист1!$A$2:$B$25, 2, 0)</f>
        <v>16383</v>
      </c>
      <c r="C15" s="2" t="n">
        <f aca="false">VLOOKUP(A15, Лист2!$A$2:$B$25, 2, 0)</f>
        <v>2391484</v>
      </c>
    </row>
    <row r="16" customFormat="false" ht="15" hidden="false" customHeight="false" outlineLevel="0" collapsed="false">
      <c r="A16" s="1" t="n">
        <v>14</v>
      </c>
      <c r="B16" s="1" t="n">
        <f aca="false">=VLOOKUP(A16, Лист1!$A$2:$B$25, 2, 0)</f>
        <v>32767</v>
      </c>
      <c r="C16" s="2" t="n">
        <f aca="false">VLOOKUP(A16, Лист2!$A$2:$B$25, 2, 0)</f>
        <v>7174453</v>
      </c>
    </row>
    <row r="17" customFormat="false" ht="15" hidden="false" customHeight="false" outlineLevel="0" collapsed="false">
      <c r="A17" s="1" t="n">
        <v>15</v>
      </c>
      <c r="B17" s="1" t="n">
        <f aca="false">=VLOOKUP(A17, Лист1!$A$2:$B$25, 2, 0)</f>
        <v>65535</v>
      </c>
      <c r="C17" s="2" t="n">
        <f aca="false">VLOOKUP(A17, Лист2!$A$2:$B$25, 2, 0)</f>
        <v>21523360</v>
      </c>
    </row>
    <row r="18" customFormat="false" ht="15" hidden="false" customHeight="false" outlineLevel="0" collapsed="false">
      <c r="A18" s="1" t="n">
        <v>16</v>
      </c>
      <c r="B18" s="1" t="n">
        <f aca="false">=VLOOKUP(A18, Лист1!$A$2:$B$25, 2, 0)</f>
        <v>131071</v>
      </c>
      <c r="C18" s="2" t="n">
        <f aca="false">VLOOKUP(A18, Лист2!$A$2:$B$25, 2, 0)</f>
        <v>64570081</v>
      </c>
    </row>
    <row r="19" customFormat="false" ht="15" hidden="false" customHeight="false" outlineLevel="0" collapsed="false">
      <c r="A19" s="1" t="n">
        <v>17</v>
      </c>
      <c r="B19" s="1" t="n">
        <f aca="false">=VLOOKUP(A19, Лист1!$A$2:$B$25, 2, 0)</f>
        <v>262143</v>
      </c>
      <c r="C19" s="2" t="n">
        <f aca="false">VLOOKUP(A19, Лист2!$A$2:$B$25, 2, 0)</f>
        <v>193710244</v>
      </c>
      <c r="N19" s="3"/>
    </row>
    <row r="20" customFormat="false" ht="15" hidden="false" customHeight="false" outlineLevel="0" collapsed="false">
      <c r="A20" s="1" t="n">
        <v>18</v>
      </c>
      <c r="B20" s="1" t="n">
        <f aca="false">=VLOOKUP(A20, Лист1!$A$2:$B$25, 2, 0)</f>
        <v>524287</v>
      </c>
      <c r="C20" s="2" t="n">
        <f aca="false">VLOOKUP(A20, Лист2!$A$2:$B$25, 2, 0)</f>
        <v>581130733</v>
      </c>
    </row>
    <row r="21" customFormat="false" ht="15" hidden="false" customHeight="false" outlineLevel="0" collapsed="false">
      <c r="A21" s="1" t="n">
        <v>19</v>
      </c>
      <c r="B21" s="1" t="n">
        <f aca="false">=VLOOKUP(A21, Лист1!$A$2:$B$25, 2, 0)</f>
        <v>1048575</v>
      </c>
      <c r="C21" s="2" t="n">
        <f aca="false">VLOOKUP(A21, Лист2!$A$2:$B$25, 2, 0)</f>
        <v>1743392200</v>
      </c>
    </row>
    <row r="22" customFormat="false" ht="15" hidden="false" customHeight="false" outlineLevel="0" collapsed="false">
      <c r="A22" s="1" t="n">
        <v>20</v>
      </c>
      <c r="B22" s="1" t="n">
        <f aca="false">=VLOOKUP(A22, Лист1!$A$2:$B$25, 2, 0)</f>
        <v>2097151</v>
      </c>
      <c r="C22" s="2" t="n">
        <f aca="false">VLOOKUP(A22, Лист2!$A$2:$B$25, 2, 0)</f>
        <v>5230176601</v>
      </c>
    </row>
    <row r="23" customFormat="false" ht="15" hidden="false" customHeight="false" outlineLevel="0" collapsed="false">
      <c r="A23" s="1" t="n">
        <v>21</v>
      </c>
      <c r="B23" s="1" t="n">
        <f aca="false">=VLOOKUP(A23, Лист1!$A$2:$B$25, 2, 0)</f>
        <v>4194303</v>
      </c>
      <c r="C23" s="2" t="n">
        <f aca="false">VLOOKUP(A23, Лист2!$A$2:$B$25, 2, 0)</f>
        <v>15690529804</v>
      </c>
    </row>
    <row r="24" customFormat="false" ht="15" hidden="false" customHeight="false" outlineLevel="0" collapsed="false">
      <c r="A24" s="1" t="n">
        <v>22</v>
      </c>
      <c r="B24" s="1" t="n">
        <f aca="false">=VLOOKUP(A24, Лист1!$A$2:$B$25, 2, 0)</f>
        <v>8388607</v>
      </c>
      <c r="C24" s="2" t="n">
        <f aca="false">VLOOKUP(A24, Лист2!$A$2:$B$25, 2, 0)</f>
        <v>47071589413</v>
      </c>
    </row>
    <row r="25" customFormat="false" ht="15" hidden="false" customHeight="false" outlineLevel="0" collapsed="false">
      <c r="A25" s="1" t="n">
        <v>23</v>
      </c>
      <c r="B25" s="1" t="n">
        <f aca="false">=VLOOKUP(A25, Лист1!$A$2:$B$25, 2, 0)</f>
        <v>16777215</v>
      </c>
      <c r="C25" s="2" t="n">
        <f aca="false">VLOOKUP(A25, Лист2!$A$2:$B$25, 2, 0)</f>
        <v>141214768240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Roman,Обычный"&amp;12&amp;Kffffff&amp;A</oddHeader>
    <oddFooter>&amp;C&amp;"Times New Roman,Обычный"&amp;12&amp;KffffffСтраница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29.62"/>
    <col collapsed="false" customWidth="true" hidden="false" outlineLevel="0" max="2" min="2" style="1" width="15.85"/>
    <col collapsed="false" customWidth="true" hidden="false" outlineLevel="0" max="3" min="3" style="0" width="17.52"/>
    <col collapsed="false" customWidth="true" hidden="false" outlineLevel="0" max="4" min="4" style="1" width="17.38"/>
  </cols>
  <sheetData>
    <row r="1" customFormat="false" ht="15" hidden="false" customHeight="false" outlineLevel="0" collapsed="false">
      <c r="A1" s="4" t="s">
        <v>5</v>
      </c>
      <c r="B1" s="4" t="s">
        <v>6</v>
      </c>
      <c r="C1" s="5" t="s">
        <v>7</v>
      </c>
      <c r="D1" s="4" t="s">
        <v>8</v>
      </c>
    </row>
    <row r="2" customFormat="false" ht="15" hidden="false" customHeight="false" outlineLevel="0" collapsed="false">
      <c r="A2" s="6" t="s">
        <v>9</v>
      </c>
      <c r="B2" s="1" t="n">
        <f aca="false">AVERAGE(Лист3!A2:A25)</f>
        <v>11.5</v>
      </c>
      <c r="C2" s="2" t="n">
        <f aca="false">AVERAGE(Лист3!B2:B25)</f>
        <v>1398100.25</v>
      </c>
      <c r="D2" s="1" t="n">
        <f aca="false">AVERAGE(Лист3!C2:C25)</f>
        <v>8825923014.5</v>
      </c>
    </row>
    <row r="3" customFormat="false" ht="15" hidden="false" customHeight="false" outlineLevel="0" collapsed="false">
      <c r="A3" s="6" t="s">
        <v>10</v>
      </c>
      <c r="B3" s="1" t="n">
        <f aca="false">AVERAGE(Лист3!A3:A26)</f>
        <v>12</v>
      </c>
      <c r="C3" s="2" t="n">
        <f aca="false">AVERAGE(Лист3!B3:B26)</f>
        <v>1458887.17391304</v>
      </c>
      <c r="D3" s="1" t="n">
        <f aca="false">AVERAGE(Лист3!C3:C26)</f>
        <v>9209658797.69565</v>
      </c>
    </row>
    <row r="4" customFormat="false" ht="15" hidden="false" customHeight="false" outlineLevel="0" collapsed="false">
      <c r="A4" s="6" t="s">
        <v>11</v>
      </c>
      <c r="B4" s="1" t="n">
        <f aca="false">AVERAGE(Лист3!A4:A27)</f>
        <v>12.5</v>
      </c>
      <c r="C4" s="2" t="n">
        <f aca="false">AVERAGE(Лист3!B4:B27)</f>
        <v>1525200.09090909</v>
      </c>
      <c r="D4" s="1" t="n">
        <f aca="false">AVERAGE(Лист3!C4:C27)</f>
        <v>9628279651.95455</v>
      </c>
    </row>
    <row r="5" customFormat="false" ht="15" hidden="false" customHeight="false" outlineLevel="0" collapsed="false">
      <c r="A5" s="6" t="s">
        <v>12</v>
      </c>
      <c r="B5" s="1" t="n">
        <f aca="false">AVERAGE(Лист3!A5:A28)</f>
        <v>13</v>
      </c>
      <c r="C5" s="2" t="n">
        <f aca="false">AVERAGE(Лист3!B5:B28)</f>
        <v>1597828.33333333</v>
      </c>
      <c r="D5" s="1" t="n">
        <f aca="false">AVERAGE(Лист3!C5:C28)</f>
        <v>10086769158.5714</v>
      </c>
    </row>
    <row r="6" customFormat="false" ht="15" hidden="false" customHeight="false" outlineLevel="0" collapsed="false">
      <c r="A6" s="6" t="s">
        <v>13</v>
      </c>
      <c r="B6" s="1" t="n">
        <f aca="false">AVERAGE(Лист3!A6:A29)</f>
        <v>13.5</v>
      </c>
      <c r="C6" s="2" t="n">
        <f aca="false">AVERAGE(Лист3!B6:B29)</f>
        <v>1677719</v>
      </c>
      <c r="D6" s="1" t="n">
        <f aca="false">AVERAGE(Лист3!C6:C29)</f>
        <v>10591107614.5</v>
      </c>
    </row>
    <row r="7" customFormat="false" ht="15" hidden="false" customHeight="false" outlineLevel="0" collapsed="false">
      <c r="A7" s="6" t="s">
        <v>14</v>
      </c>
      <c r="B7" s="1" t="n">
        <f aca="false">AVERAGE(Лист3!A7:A30)</f>
        <v>14</v>
      </c>
      <c r="C7" s="2" t="n">
        <f aca="false">AVERAGE(Лист3!B7:B30)</f>
        <v>1766018.36842105</v>
      </c>
      <c r="D7" s="1" t="n">
        <f aca="false">AVERAGE(Лист3!C7:C30)</f>
        <v>11148534324.6842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Roman,Обычный"&amp;12&amp;Kffffff&amp;A</oddHeader>
    <oddFooter>&amp;C&amp;"Times New Roman,Обычный"&amp;12&amp;KffffffСтраница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11.53515625" defaultRowHeight="13.8" zeroHeight="false" outlineLevelRow="0" outlineLevelCol="0"/>
  <cols>
    <col collapsed="false" customWidth="false" hidden="false" outlineLevel="0" max="1" min="1" style="1" width="11.53"/>
    <col collapsed="false" customWidth="false" hidden="false" outlineLevel="0" max="4" min="3" style="1" width="11.53"/>
  </cols>
  <sheetData>
    <row r="1" customFormat="false" ht="15" hidden="false" customHeight="false" outlineLevel="0" collapsed="false">
      <c r="A1" s="7"/>
      <c r="B1" s="7" t="n">
        <v>2021</v>
      </c>
      <c r="C1" s="7" t="n">
        <v>2022</v>
      </c>
      <c r="D1" s="7" t="n">
        <v>2023</v>
      </c>
      <c r="E1" s="8" t="n">
        <v>2024</v>
      </c>
      <c r="F1" s="8" t="n">
        <v>2025</v>
      </c>
      <c r="G1" s="8" t="n">
        <v>2026</v>
      </c>
      <c r="H1" s="8" t="n">
        <v>2027</v>
      </c>
    </row>
    <row r="2" customFormat="false" ht="15" hidden="false" customHeight="false" outlineLevel="0" collapsed="false">
      <c r="A2" s="7" t="s">
        <v>15</v>
      </c>
      <c r="B2" s="8" t="n">
        <v>1510000</v>
      </c>
      <c r="C2" s="7" t="n">
        <v>2236476</v>
      </c>
      <c r="D2" s="7" t="n">
        <v>1934765</v>
      </c>
      <c r="E2" s="8" t="n">
        <v>4543534</v>
      </c>
      <c r="F2" s="8" t="n">
        <v>2348887</v>
      </c>
      <c r="G2" s="8" t="n">
        <v>1170004</v>
      </c>
      <c r="H2" s="8" t="n">
        <v>2344598</v>
      </c>
    </row>
    <row r="3" customFormat="false" ht="15" hidden="false" customHeight="false" outlineLevel="0" collapsed="false">
      <c r="A3" s="7" t="s">
        <v>16</v>
      </c>
      <c r="B3" s="8" t="n">
        <v>237800</v>
      </c>
      <c r="C3" s="7" t="n">
        <v>732647</v>
      </c>
      <c r="D3" s="7" t="n">
        <v>567672</v>
      </c>
      <c r="E3" s="8" t="n">
        <v>234234</v>
      </c>
      <c r="F3" s="8" t="n">
        <v>32317</v>
      </c>
      <c r="G3" s="8" t="n">
        <v>634423</v>
      </c>
      <c r="H3" s="8" t="n">
        <v>235455</v>
      </c>
    </row>
    <row r="4" customFormat="false" ht="15" hidden="false" customHeight="false" outlineLevel="0" collapsed="false">
      <c r="A4" s="7" t="s">
        <v>17</v>
      </c>
      <c r="B4" s="8" t="n">
        <v>3211400</v>
      </c>
      <c r="C4" s="7" t="n">
        <v>4873837</v>
      </c>
      <c r="D4" s="7" t="n">
        <v>36654654</v>
      </c>
      <c r="E4" s="8" t="n">
        <v>3453453</v>
      </c>
      <c r="F4" s="8" t="n">
        <v>5435323</v>
      </c>
      <c r="G4" s="8" t="n">
        <v>4586959</v>
      </c>
      <c r="H4" s="8" t="n">
        <v>8576885</v>
      </c>
    </row>
    <row r="5" customFormat="false" ht="15" hidden="false" customHeight="false" outlineLevel="0" collapsed="false">
      <c r="A5" s="7" t="s">
        <v>18</v>
      </c>
      <c r="B5" s="8" t="n">
        <v>4961201</v>
      </c>
      <c r="C5" s="7" t="n">
        <v>7844962</v>
      </c>
      <c r="D5" s="7" t="n">
        <v>6159094</v>
      </c>
      <c r="E5" s="8" t="n">
        <v>8233225</v>
      </c>
      <c r="F5" s="8" t="n">
        <v>8109432</v>
      </c>
      <c r="G5" s="8" t="n">
        <v>6393392</v>
      </c>
      <c r="H5" s="8" t="n">
        <v>11158945</v>
      </c>
    </row>
    <row r="15" customFormat="false" ht="13.8" hidden="true" customHeight="false" outlineLevel="0" collapsed="false"/>
    <row r="16" customFormat="false" ht="13.8" hidden="tru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Roman,Обычный"&amp;12&amp;Kffffff&amp;A</oddHeader>
    <oddFooter>&amp;C&amp;"Times New Roman,Обычный"&amp;12&amp;KffffffСтраница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2026-05-21T11:23:50Z</dcterms:modified>
  <cp:revision>1</cp:revision>
  <dc:subject/>
  <dc:title/>
</cp:coreProperties>
</file>